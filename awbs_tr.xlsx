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ebkuimov/Desktop/suka/tesis/svo_tracker/"/>
    </mc:Choice>
  </mc:AlternateContent>
  <xr:revisionPtr revIDLastSave="0" documentId="13_ncr:1_{3FBDC78C-34B7-2949-AD97-F14E6F36987E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AWB" sheetId="1" r:id="rId1"/>
  </sheets>
  <definedNames>
    <definedName name="_xlnm._FilterDatabase" localSheetId="0" hidden="1">AWB!$A$7:$F$207</definedName>
    <definedName name="AWB_LINE">AWB!$8:$8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1" i="1" l="1"/>
  <c r="H131" i="1"/>
  <c r="I47" i="1"/>
  <c r="J47" i="1" s="1"/>
  <c r="F29" i="1"/>
</calcChain>
</file>

<file path=xl/sharedStrings.xml><?xml version="1.0" encoding="utf-8"?>
<sst xmlns="http://schemas.openxmlformats.org/spreadsheetml/2006/main" count="398" uniqueCount="225">
  <si>
    <t>КЦ</t>
  </si>
  <si>
    <t>Первый номер:</t>
  </si>
  <si>
    <t>Последний номер:</t>
  </si>
  <si>
    <t>Всего, шт:</t>
  </si>
  <si>
    <t>adr</t>
  </si>
  <si>
    <t>celil</t>
  </si>
  <si>
    <t>limittrans</t>
  </si>
  <si>
    <t>Код авиакомпании:</t>
  </si>
  <si>
    <t>Date of arrival</t>
  </si>
  <si>
    <t>СТОК НОМЕРОВ</t>
  </si>
  <si>
    <t>FFR</t>
  </si>
  <si>
    <t>FFA</t>
  </si>
  <si>
    <t>СW</t>
  </si>
  <si>
    <t>V</t>
  </si>
  <si>
    <t>555-04918082</t>
  </si>
  <si>
    <t>NN</t>
  </si>
  <si>
    <t>kk</t>
  </si>
  <si>
    <t>555-04918093</t>
  </si>
  <si>
    <t>555-04918104</t>
  </si>
  <si>
    <t>555-04918115</t>
  </si>
  <si>
    <t>555-04918126</t>
  </si>
  <si>
    <t>555-04918130</t>
  </si>
  <si>
    <t>555-04918141</t>
  </si>
  <si>
    <t>555-04918152</t>
  </si>
  <si>
    <t>555-04918163</t>
  </si>
  <si>
    <t>555-04918174</t>
  </si>
  <si>
    <t>555-04918185</t>
  </si>
  <si>
    <t>555-04918196</t>
  </si>
  <si>
    <t>555-04918200</t>
  </si>
  <si>
    <t>555-04918211</t>
  </si>
  <si>
    <t>555-04918222</t>
  </si>
  <si>
    <t>555-04918233</t>
  </si>
  <si>
    <t>555-04918244</t>
  </si>
  <si>
    <t>555-04918255</t>
  </si>
  <si>
    <t>555-04918266</t>
  </si>
  <si>
    <t>555-04918270</t>
  </si>
  <si>
    <t>555-04918281</t>
  </si>
  <si>
    <t>555-04918292</t>
  </si>
  <si>
    <t>555-04918303</t>
  </si>
  <si>
    <t>0.03</t>
  </si>
  <si>
    <t>555-04918314</t>
  </si>
  <si>
    <t>07.02.2025 </t>
  </si>
  <si>
    <t>555-04918325</t>
  </si>
  <si>
    <t>555-04918336</t>
  </si>
  <si>
    <t>555-04918340</t>
  </si>
  <si>
    <t>555-04918351</t>
  </si>
  <si>
    <t>555-04918362</t>
  </si>
  <si>
    <t>08.02.2025</t>
  </si>
  <si>
    <t>555-04918373</t>
  </si>
  <si>
    <t>13.02.2025</t>
  </si>
  <si>
    <t>555-04918384</t>
  </si>
  <si>
    <t>12.02.2025</t>
  </si>
  <si>
    <t>555-04918395</t>
  </si>
  <si>
    <t>555-04918406</t>
  </si>
  <si>
    <t>555-04918410</t>
  </si>
  <si>
    <t>555-04918421</t>
  </si>
  <si>
    <t>555-04918432</t>
  </si>
  <si>
    <t>555-04918443</t>
  </si>
  <si>
    <t>555-04918454</t>
  </si>
  <si>
    <t>14.02.2025</t>
  </si>
  <si>
    <t>555-04918465</t>
  </si>
  <si>
    <t>555-04918476</t>
  </si>
  <si>
    <t>16.02.2025</t>
  </si>
  <si>
    <t>555-04918480</t>
  </si>
  <si>
    <t>555-04918491</t>
  </si>
  <si>
    <t>555-04918502</t>
  </si>
  <si>
    <t>555-04918513</t>
  </si>
  <si>
    <t>555-04918524</t>
  </si>
  <si>
    <t>22.02.2025</t>
  </si>
  <si>
    <t>555-04918535</t>
  </si>
  <si>
    <t>555-04918546</t>
  </si>
  <si>
    <t>20.02.2025</t>
  </si>
  <si>
    <t>555-04918550</t>
  </si>
  <si>
    <t>19.02.2025</t>
  </si>
  <si>
    <t>555-04918561</t>
  </si>
  <si>
    <t>23.02.2025</t>
  </si>
  <si>
    <t>555-04918572</t>
  </si>
  <si>
    <t>555-04918583</t>
  </si>
  <si>
    <t>555-04918594</t>
  </si>
  <si>
    <t>555-04918605</t>
  </si>
  <si>
    <t>555-04918616</t>
  </si>
  <si>
    <t>555-04918620</t>
  </si>
  <si>
    <t>555-04918631</t>
  </si>
  <si>
    <t>555-04918642</t>
  </si>
  <si>
    <t>555-04918653</t>
  </si>
  <si>
    <t>21.02.2025</t>
  </si>
  <si>
    <t>555-04918664</t>
  </si>
  <si>
    <t>555-04918675</t>
  </si>
  <si>
    <t>555-04918686</t>
  </si>
  <si>
    <t>555-04918690</t>
  </si>
  <si>
    <t>24.02.2025</t>
  </si>
  <si>
    <t>555-04918701</t>
  </si>
  <si>
    <t>555-04918712</t>
  </si>
  <si>
    <t>555-04918723</t>
  </si>
  <si>
    <t>555-04918734</t>
  </si>
  <si>
    <t>555-04918745</t>
  </si>
  <si>
    <t>27.02.2025</t>
  </si>
  <si>
    <t>555-04918756</t>
  </si>
  <si>
    <t>555-04918760</t>
  </si>
  <si>
    <t>555-04918771</t>
  </si>
  <si>
    <t>555-04918782</t>
  </si>
  <si>
    <t>28.02.2025</t>
  </si>
  <si>
    <t>555-04918793</t>
  </si>
  <si>
    <t>01.03.2025</t>
  </si>
  <si>
    <t>555-04918804</t>
  </si>
  <si>
    <t>26.02.2025</t>
  </si>
  <si>
    <t>555-04918815</t>
  </si>
  <si>
    <t>25.02.2025</t>
  </si>
  <si>
    <t>555-04918826</t>
  </si>
  <si>
    <t>555-04918830</t>
  </si>
  <si>
    <t>555-04918841</t>
  </si>
  <si>
    <t>555-04918852</t>
  </si>
  <si>
    <t>555-04918863</t>
  </si>
  <si>
    <t>555-04918874</t>
  </si>
  <si>
    <t>03.03.2025</t>
  </si>
  <si>
    <t>555-04918885</t>
  </si>
  <si>
    <t>555-04918896</t>
  </si>
  <si>
    <t>555-04918900</t>
  </si>
  <si>
    <t>555-04918911</t>
  </si>
  <si>
    <t>555-04918922</t>
  </si>
  <si>
    <t>555-04918933</t>
  </si>
  <si>
    <t>02.03.2025</t>
  </si>
  <si>
    <t>555-04918944</t>
  </si>
  <si>
    <t>555-04918955</t>
  </si>
  <si>
    <t>555-04918966</t>
  </si>
  <si>
    <t>555-04918970</t>
  </si>
  <si>
    <t>555-04918981</t>
  </si>
  <si>
    <t>555-04918992</t>
  </si>
  <si>
    <t>555-04919003</t>
  </si>
  <si>
    <t>555-04919014</t>
  </si>
  <si>
    <t>555-04919025</t>
  </si>
  <si>
    <t>555-04919036</t>
  </si>
  <si>
    <t>555-04919040</t>
  </si>
  <si>
    <t>555-04919051</t>
  </si>
  <si>
    <t>555-04919062</t>
  </si>
  <si>
    <t>555-04919073</t>
  </si>
  <si>
    <t>555-08392042</t>
  </si>
  <si>
    <t>555-08392053</t>
  </si>
  <si>
    <t>06.03.2025</t>
  </si>
  <si>
    <t>555-08392064</t>
  </si>
  <si>
    <t>04.03.2025</t>
  </si>
  <si>
    <t>555-08392075</t>
  </si>
  <si>
    <t>09.03.2025</t>
  </si>
  <si>
    <t>555-08392086</t>
  </si>
  <si>
    <t>08.03.2025</t>
  </si>
  <si>
    <t>555-08392090</t>
  </si>
  <si>
    <t>07.03.2025</t>
  </si>
  <si>
    <t>555-08392101</t>
  </si>
  <si>
    <t>555-08392112</t>
  </si>
  <si>
    <t>555-08392123</t>
  </si>
  <si>
    <t>555-08392134</t>
  </si>
  <si>
    <t>12.03.2025</t>
  </si>
  <si>
    <t>555-08392145</t>
  </si>
  <si>
    <t>13.03.2025</t>
  </si>
  <si>
    <t>555-08392156</t>
  </si>
  <si>
    <t>10.03.2025</t>
  </si>
  <si>
    <t>555-08392160</t>
  </si>
  <si>
    <t>555-08392171</t>
  </si>
  <si>
    <t>11.03.2025</t>
  </si>
  <si>
    <t>555-08392182</t>
  </si>
  <si>
    <t>555-08392193</t>
  </si>
  <si>
    <t>555-08392204</t>
  </si>
  <si>
    <t>555-08392215</t>
  </si>
  <si>
    <t>555-08392226</t>
  </si>
  <si>
    <t>555-08392230</t>
  </si>
  <si>
    <t>555-08392241</t>
  </si>
  <si>
    <t>555-08392252</t>
  </si>
  <si>
    <t>555-08392263</t>
  </si>
  <si>
    <t>555-08392274</t>
  </si>
  <si>
    <t>555-10216614</t>
  </si>
  <si>
    <t>555-10216636</t>
  </si>
  <si>
    <t>555-10216640</t>
  </si>
  <si>
    <t>555-10216651</t>
  </si>
  <si>
    <t>555-10216662</t>
  </si>
  <si>
    <t>555-10216673</t>
  </si>
  <si>
    <t>?</t>
  </si>
  <si>
    <t>555-10216625</t>
  </si>
  <si>
    <t>555-10216684</t>
  </si>
  <si>
    <t>555-10216695</t>
  </si>
  <si>
    <t>555-10216706</t>
  </si>
  <si>
    <t>555-10216710</t>
  </si>
  <si>
    <t>555-10216721</t>
  </si>
  <si>
    <t>420</t>
  </si>
  <si>
    <t>24</t>
  </si>
  <si>
    <t>71</t>
  </si>
  <si>
    <t>2</t>
  </si>
  <si>
    <t>555-10216754</t>
  </si>
  <si>
    <t>555-10216802</t>
  </si>
  <si>
    <t>555-10216776</t>
  </si>
  <si>
    <t>555-10217001</t>
  </si>
  <si>
    <t>555-10217012</t>
  </si>
  <si>
    <t>555-10217023</t>
  </si>
  <si>
    <t>555-10217034</t>
  </si>
  <si>
    <t>555-10217045</t>
  </si>
  <si>
    <t>555-10216894</t>
  </si>
  <si>
    <t>555-10216883</t>
  </si>
  <si>
    <t>555-10216835</t>
  </si>
  <si>
    <t>50</t>
  </si>
  <si>
    <t>1,7</t>
  </si>
  <si>
    <t>1,4</t>
  </si>
  <si>
    <t>1</t>
  </si>
  <si>
    <t>0,95</t>
  </si>
  <si>
    <t>0,9</t>
  </si>
  <si>
    <t>min</t>
  </si>
  <si>
    <t>-45</t>
  </si>
  <si>
    <t>+45</t>
  </si>
  <si>
    <t>+100</t>
  </si>
  <si>
    <t>+300</t>
  </si>
  <si>
    <t>+500</t>
  </si>
  <si>
    <t>+1000</t>
  </si>
  <si>
    <t>AYT-SVO</t>
  </si>
  <si>
    <t>IST-SVO</t>
  </si>
  <si>
    <t>55</t>
  </si>
  <si>
    <t>2,2</t>
  </si>
  <si>
    <t>1,9</t>
  </si>
  <si>
    <t>1,8</t>
  </si>
  <si>
    <t>1,6</t>
  </si>
  <si>
    <t xml:space="preserve">15 </t>
  </si>
  <si>
    <t>M, USD per AWB</t>
  </si>
  <si>
    <t>2,6</t>
  </si>
  <si>
    <t>2,5</t>
  </si>
  <si>
    <t>2,4</t>
  </si>
  <si>
    <t>=L130*25</t>
  </si>
  <si>
    <t>555-10217211</t>
  </si>
  <si>
    <t>555-10217115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</si>
</sst>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i/>
      <sz val="10"/>
      <color indexed="18"/>
      <name val="Arial"/>
      <family val="2"/>
      <charset val="204"/>
    </font>
    <font>
      <sz val="10"/>
      <name val="Arial"/>
      <family val="2"/>
      <charset val="204"/>
    </font>
    <font>
      <sz val="14"/>
      <color rgb="FF212529"/>
      <name val="Arial"/>
      <family val="2"/>
    </font>
    <font>
      <sz val="16"/>
      <color rgb="FF212529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rgb="FF0066CC"/>
      <name val="Calibri"/>
      <family val="2"/>
      <scheme val="minor"/>
    </font>
    <font>
      <sz val="14"/>
      <color rgb="FF3366FF"/>
      <name val="Helvetica Neue"/>
      <family val="2"/>
    </font>
    <font>
      <b/>
      <i/>
      <u/>
      <sz val="11"/>
      <color theme="1"/>
      <name val="Calibri"/>
      <family val="2"/>
      <scheme val="minor"/>
    </font>
    <font>
      <sz val="14"/>
      <color rgb="FF1677FF"/>
      <name val="Helvetica Neue"/>
      <family val="2"/>
    </font>
    <font>
      <u/>
      <sz val="11"/>
      <color theme="10"/>
      <name val="Calibri"/>
      <family val="2"/>
      <charset val="204"/>
      <scheme val="minor"/>
    </font>
    <font>
      <sz val="12"/>
      <color rgb="FF222222"/>
      <name val="Arial"/>
      <family val="2"/>
    </font>
    <font>
      <sz val="14"/>
      <color theme="1"/>
      <name val="Helvetica Neue"/>
      <family val="2"/>
    </font>
    <font>
      <sz val="8"/>
      <name val="Calibri"/>
      <family val="2"/>
      <charset val="204"/>
      <scheme val="minor"/>
    </font>
    <font>
      <sz val="13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49" fontId="1" fillId="0" borderId="1" xfId="1" applyNumberFormat="1" applyBorder="1" applyAlignment="1">
      <alignment horizontal="right"/>
    </xf>
    <xf numFmtId="49" fontId="4" fillId="0" borderId="1" xfId="1" applyNumberFormat="1" applyFont="1" applyBorder="1"/>
    <xf numFmtId="49" fontId="1" fillId="0" borderId="1" xfId="1" applyNumberFormat="1" applyBorder="1"/>
    <xf numFmtId="49" fontId="3" fillId="0" borderId="1" xfId="1" applyNumberFormat="1" applyFont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49" fontId="5" fillId="3" borderId="2" xfId="1" applyNumberFormat="1" applyFont="1" applyFill="1" applyBorder="1" applyAlignment="1">
      <alignment horizontal="center"/>
    </xf>
    <xf numFmtId="49" fontId="5" fillId="4" borderId="2" xfId="1" applyNumberFormat="1" applyFont="1" applyFill="1" applyBorder="1" applyAlignment="1">
      <alignment horizontal="center"/>
    </xf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/>
    <xf numFmtId="14" fontId="6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2" fontId="0" fillId="5" borderId="0" xfId="0" applyNumberFormat="1" applyFill="1"/>
    <xf numFmtId="2" fontId="7" fillId="0" borderId="0" xfId="0" applyNumberFormat="1" applyFont="1"/>
    <xf numFmtId="14" fontId="8" fillId="0" borderId="0" xfId="0" applyNumberFormat="1" applyFont="1"/>
    <xf numFmtId="49" fontId="9" fillId="3" borderId="2" xfId="1" applyNumberFormat="1" applyFont="1" applyFill="1" applyBorder="1" applyAlignment="1">
      <alignment horizontal="center"/>
    </xf>
    <xf numFmtId="2" fontId="8" fillId="0" borderId="0" xfId="0" applyNumberFormat="1" applyFont="1"/>
    <xf numFmtId="0" fontId="6" fillId="0" borderId="0" xfId="0" applyFont="1"/>
    <xf numFmtId="49" fontId="0" fillId="3" borderId="0" xfId="0" applyNumberFormat="1" applyFill="1" applyAlignment="1">
      <alignment horizontal="center"/>
    </xf>
    <xf numFmtId="0" fontId="0" fillId="0" borderId="3" xfId="0" applyBorder="1"/>
    <xf numFmtId="49" fontId="5" fillId="3" borderId="4" xfId="1" applyNumberFormat="1" applyFont="1" applyFill="1" applyBorder="1" applyAlignment="1">
      <alignment horizontal="center"/>
    </xf>
    <xf numFmtId="49" fontId="0" fillId="0" borderId="3" xfId="0" applyNumberFormat="1" applyBorder="1"/>
    <xf numFmtId="2" fontId="0" fillId="0" borderId="3" xfId="0" applyNumberFormat="1" applyBorder="1"/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5" fillId="3" borderId="5" xfId="1" applyNumberFormat="1" applyFont="1" applyFill="1" applyBorder="1" applyAlignment="1">
      <alignment horizontal="center"/>
    </xf>
    <xf numFmtId="49" fontId="5" fillId="3" borderId="7" xfId="1" applyNumberFormat="1" applyFont="1" applyFill="1" applyBorder="1" applyAlignment="1">
      <alignment horizontal="center"/>
    </xf>
    <xf numFmtId="49" fontId="0" fillId="0" borderId="8" xfId="0" applyNumberFormat="1" applyBorder="1"/>
    <xf numFmtId="2" fontId="0" fillId="0" borderId="8" xfId="0" applyNumberFormat="1" applyBorder="1"/>
    <xf numFmtId="49" fontId="13" fillId="0" borderId="6" xfId="0" applyNumberFormat="1" applyFont="1" applyBorder="1"/>
    <xf numFmtId="0" fontId="10" fillId="4" borderId="0" xfId="0" applyFont="1" applyFill="1"/>
    <xf numFmtId="0" fontId="11" fillId="5" borderId="0" xfId="0" applyFont="1" applyFill="1"/>
    <xf numFmtId="0" fontId="12" fillId="5" borderId="0" xfId="0" applyFont="1" applyFill="1"/>
    <xf numFmtId="0" fontId="11" fillId="3" borderId="0" xfId="0" applyFont="1" applyFill="1"/>
    <xf numFmtId="49" fontId="0" fillId="0" borderId="0" xfId="0" applyNumberFormat="1" applyAlignment="1">
      <alignment horizontal="center"/>
    </xf>
    <xf numFmtId="0" fontId="15" fillId="5" borderId="0" xfId="2" applyFill="1"/>
    <xf numFmtId="0" fontId="15" fillId="3" borderId="0" xfId="2" applyFill="1"/>
    <xf numFmtId="0" fontId="14" fillId="3" borderId="0" xfId="0" applyFont="1" applyFill="1"/>
    <xf numFmtId="0" fontId="16" fillId="5" borderId="0" xfId="0" applyFont="1" applyFill="1"/>
    <xf numFmtId="0" fontId="17" fillId="5" borderId="0" xfId="0" applyFont="1" applyFill="1"/>
    <xf numFmtId="0" fontId="19" fillId="4" borderId="0" xfId="0" applyFont="1" applyFill="1"/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fl.booking-cargo.ru/booking/32407" TargetMode="External"/><Relationship Id="rId2" Type="http://schemas.openxmlformats.org/officeDocument/2006/relationships/hyperlink" Target="https://afl.booking-cargo.ru/booking/31367" TargetMode="External"/><Relationship Id="rId1" Type="http://schemas.openxmlformats.org/officeDocument/2006/relationships/hyperlink" Target="https://afl.booking-cargo.ru/booking/30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07"/>
  <sheetViews>
    <sheetView tabSelected="1" topLeftCell="A124" workbookViewId="0">
      <selection activeCell="B156" sqref="B156"/>
    </sheetView>
  </sheetViews>
  <sheetFormatPr baseColWidth="10" defaultColWidth="9.1640625" defaultRowHeight="15" x14ac:dyDescent="0.2"/>
  <cols>
    <col min="1" max="1" width="25.5" style="1" customWidth="1"/>
    <col min="2" max="2" width="18.6640625" style="1" customWidth="1"/>
    <col min="3" max="4" width="9.1640625" style="1" customWidth="1"/>
    <col min="5" max="5" width="13.6640625" style="14" customWidth="1"/>
    <col min="6" max="9" width="9.1640625" style="14" customWidth="1"/>
    <col min="10" max="10" width="14.6640625" style="14" customWidth="1"/>
    <col min="11" max="14" width="9.1640625" style="1" customWidth="1"/>
    <col min="15" max="18" width="9.1640625" style="1"/>
    <col min="19" max="19" width="23" style="1" customWidth="1"/>
    <col min="20" max="16384" width="9.1640625" style="1"/>
  </cols>
  <sheetData>
    <row r="1" spans="1:6" x14ac:dyDescent="0.2">
      <c r="C1" s="1" t="s">
        <v>0</v>
      </c>
    </row>
    <row r="2" spans="1:6" x14ac:dyDescent="0.2">
      <c r="A2" s="2" t="s">
        <v>1</v>
      </c>
      <c r="B2" s="3">
        <v>491808</v>
      </c>
      <c r="C2" s="4">
        <v>2</v>
      </c>
    </row>
    <row r="3" spans="1:6" x14ac:dyDescent="0.2">
      <c r="A3" s="2" t="s">
        <v>2</v>
      </c>
      <c r="B3" s="3">
        <v>491907</v>
      </c>
      <c r="C3" s="4">
        <v>3</v>
      </c>
    </row>
    <row r="4" spans="1:6" x14ac:dyDescent="0.2">
      <c r="A4" s="2" t="s">
        <v>3</v>
      </c>
      <c r="B4" s="4">
        <v>100</v>
      </c>
      <c r="C4" s="10" t="s">
        <v>4</v>
      </c>
      <c r="D4" s="9" t="s">
        <v>5</v>
      </c>
      <c r="E4" s="15" t="s">
        <v>6</v>
      </c>
    </row>
    <row r="5" spans="1:6" x14ac:dyDescent="0.2">
      <c r="A5" s="2" t="s">
        <v>7</v>
      </c>
      <c r="B5" s="5">
        <v>555</v>
      </c>
    </row>
    <row r="7" spans="1:6" x14ac:dyDescent="0.2">
      <c r="A7" s="1" t="s">
        <v>8</v>
      </c>
      <c r="B7" s="6" t="s">
        <v>9</v>
      </c>
      <c r="C7" s="1" t="s">
        <v>10</v>
      </c>
      <c r="D7" s="1" t="s">
        <v>11</v>
      </c>
      <c r="E7" s="14" t="s">
        <v>12</v>
      </c>
      <c r="F7" s="14" t="s">
        <v>13</v>
      </c>
    </row>
    <row r="8" spans="1:6" ht="18" customHeight="1" x14ac:dyDescent="0.2">
      <c r="A8" s="12">
        <v>45649</v>
      </c>
      <c r="B8" s="7" t="s">
        <v>14</v>
      </c>
      <c r="C8" s="1" t="s">
        <v>15</v>
      </c>
      <c r="D8" s="1" t="s">
        <v>16</v>
      </c>
      <c r="E8" s="13">
        <v>3600</v>
      </c>
      <c r="F8" s="13">
        <v>4.5629999999999997</v>
      </c>
    </row>
    <row r="9" spans="1:6" ht="18" customHeight="1" x14ac:dyDescent="0.2">
      <c r="A9" s="12">
        <v>45649</v>
      </c>
      <c r="B9" s="7" t="s">
        <v>17</v>
      </c>
      <c r="C9" s="1" t="s">
        <v>15</v>
      </c>
      <c r="D9" s="1" t="s">
        <v>16</v>
      </c>
      <c r="E9" s="13">
        <v>3600</v>
      </c>
      <c r="F9" s="13">
        <v>4.8</v>
      </c>
    </row>
    <row r="10" spans="1:6" ht="18" customHeight="1" x14ac:dyDescent="0.2">
      <c r="A10" s="11">
        <v>45646</v>
      </c>
      <c r="B10" s="7" t="s">
        <v>18</v>
      </c>
      <c r="C10" s="1" t="s">
        <v>15</v>
      </c>
      <c r="D10" s="1" t="s">
        <v>16</v>
      </c>
      <c r="E10" s="13">
        <v>2050</v>
      </c>
      <c r="F10" s="14">
        <v>1</v>
      </c>
    </row>
    <row r="11" spans="1:6" ht="18" customHeight="1" x14ac:dyDescent="0.2">
      <c r="A11" s="11">
        <v>45646</v>
      </c>
      <c r="B11" s="7" t="s">
        <v>19</v>
      </c>
      <c r="C11" s="1" t="s">
        <v>15</v>
      </c>
      <c r="D11" s="1" t="s">
        <v>16</v>
      </c>
      <c r="E11" s="13">
        <v>2052</v>
      </c>
      <c r="F11" s="13">
        <v>6.9029999999999996</v>
      </c>
    </row>
    <row r="12" spans="1:6" ht="18" customHeight="1" x14ac:dyDescent="0.2">
      <c r="A12" s="12">
        <v>45645</v>
      </c>
      <c r="B12" s="7" t="s">
        <v>20</v>
      </c>
      <c r="C12" s="1" t="s">
        <v>15</v>
      </c>
      <c r="D12" s="1" t="s">
        <v>16</v>
      </c>
      <c r="E12" s="13">
        <v>1007</v>
      </c>
      <c r="F12" s="14">
        <v>3.11</v>
      </c>
    </row>
    <row r="13" spans="1:6" ht="18" customHeight="1" x14ac:dyDescent="0.2">
      <c r="A13" s="12">
        <v>45654</v>
      </c>
      <c r="B13" s="7" t="s">
        <v>21</v>
      </c>
      <c r="C13" s="1" t="s">
        <v>15</v>
      </c>
      <c r="D13" s="1" t="s">
        <v>16</v>
      </c>
      <c r="E13" s="13">
        <v>1200</v>
      </c>
      <c r="F13" s="14">
        <v>6.47</v>
      </c>
    </row>
    <row r="14" spans="1:6" ht="20" customHeight="1" x14ac:dyDescent="0.2">
      <c r="A14" s="12">
        <v>45653</v>
      </c>
      <c r="B14" s="7" t="s">
        <v>22</v>
      </c>
      <c r="C14" s="1" t="s">
        <v>15</v>
      </c>
      <c r="D14" s="1" t="s">
        <v>16</v>
      </c>
      <c r="E14" s="16">
        <v>292</v>
      </c>
      <c r="F14" s="14">
        <v>0.1</v>
      </c>
    </row>
    <row r="15" spans="1:6" ht="18" customHeight="1" x14ac:dyDescent="0.2">
      <c r="A15" s="12">
        <v>45679</v>
      </c>
      <c r="B15" s="7" t="s">
        <v>23</v>
      </c>
      <c r="C15" s="1" t="s">
        <v>15</v>
      </c>
      <c r="D15" s="1" t="s">
        <v>16</v>
      </c>
      <c r="E15" s="13">
        <v>197</v>
      </c>
      <c r="F15" s="14">
        <v>0.87</v>
      </c>
    </row>
    <row r="16" spans="1:6" ht="20" customHeight="1" x14ac:dyDescent="0.2">
      <c r="A16" s="12">
        <v>45673</v>
      </c>
      <c r="B16" s="7" t="s">
        <v>24</v>
      </c>
      <c r="C16" s="1" t="s">
        <v>15</v>
      </c>
      <c r="D16" s="1" t="s">
        <v>16</v>
      </c>
      <c r="E16" s="16">
        <v>728</v>
      </c>
    </row>
    <row r="17" spans="1:6" ht="18" customHeight="1" x14ac:dyDescent="0.2">
      <c r="A17" s="12">
        <v>45673</v>
      </c>
      <c r="B17" s="7" t="s">
        <v>25</v>
      </c>
      <c r="C17" s="1" t="s">
        <v>15</v>
      </c>
      <c r="D17" s="1" t="s">
        <v>16</v>
      </c>
      <c r="E17" s="13">
        <v>736</v>
      </c>
      <c r="F17" s="14">
        <v>3.0739999999999998</v>
      </c>
    </row>
    <row r="18" spans="1:6" ht="20" customHeight="1" x14ac:dyDescent="0.2">
      <c r="A18" s="11">
        <v>45678</v>
      </c>
      <c r="B18" s="7" t="s">
        <v>26</v>
      </c>
      <c r="C18" s="1" t="s">
        <v>15</v>
      </c>
      <c r="D18" s="1" t="s">
        <v>16</v>
      </c>
      <c r="E18" s="16">
        <v>343</v>
      </c>
      <c r="F18" s="14">
        <v>1.823</v>
      </c>
    </row>
    <row r="19" spans="1:6" ht="18" customHeight="1" x14ac:dyDescent="0.2">
      <c r="A19" s="12">
        <v>45679</v>
      </c>
      <c r="B19" s="7" t="s">
        <v>27</v>
      </c>
      <c r="C19" s="1" t="s">
        <v>15</v>
      </c>
      <c r="D19" s="1" t="s">
        <v>16</v>
      </c>
      <c r="E19" s="13">
        <v>370</v>
      </c>
      <c r="F19" s="14">
        <v>2.21</v>
      </c>
    </row>
    <row r="20" spans="1:6" x14ac:dyDescent="0.2">
      <c r="B20" s="7" t="s">
        <v>28</v>
      </c>
      <c r="C20" s="1" t="s">
        <v>15</v>
      </c>
      <c r="D20" s="1" t="s">
        <v>16</v>
      </c>
    </row>
    <row r="21" spans="1:6" x14ac:dyDescent="0.2">
      <c r="B21" s="7" t="s">
        <v>29</v>
      </c>
      <c r="C21" s="1" t="s">
        <v>15</v>
      </c>
      <c r="D21" s="1" t="s">
        <v>16</v>
      </c>
    </row>
    <row r="22" spans="1:6" ht="18" customHeight="1" x14ac:dyDescent="0.2">
      <c r="A22" s="12">
        <v>45682</v>
      </c>
      <c r="B22" s="7" t="s">
        <v>30</v>
      </c>
      <c r="C22" s="1" t="s">
        <v>15</v>
      </c>
      <c r="D22" s="1" t="s">
        <v>16</v>
      </c>
      <c r="E22" s="13">
        <v>50</v>
      </c>
      <c r="F22" s="13">
        <v>0.21299999999999999</v>
      </c>
    </row>
    <row r="23" spans="1:6" ht="18" customHeight="1" x14ac:dyDescent="0.2">
      <c r="A23" s="12">
        <v>45685</v>
      </c>
      <c r="B23" s="7" t="s">
        <v>31</v>
      </c>
      <c r="C23" s="1" t="s">
        <v>15</v>
      </c>
      <c r="D23" s="1" t="s">
        <v>16</v>
      </c>
      <c r="E23" s="13">
        <v>8</v>
      </c>
      <c r="F23" s="14">
        <v>0.05</v>
      </c>
    </row>
    <row r="24" spans="1:6" ht="20" customHeight="1" x14ac:dyDescent="0.2">
      <c r="A24" s="12">
        <v>45682</v>
      </c>
      <c r="B24" s="7" t="s">
        <v>32</v>
      </c>
      <c r="C24" s="1" t="s">
        <v>15</v>
      </c>
      <c r="D24" s="1" t="s">
        <v>16</v>
      </c>
      <c r="E24" s="16">
        <v>15</v>
      </c>
      <c r="F24" s="13">
        <v>3.5999999999999997E-2</v>
      </c>
    </row>
    <row r="25" spans="1:6" x14ac:dyDescent="0.2">
      <c r="B25" s="7" t="s">
        <v>33</v>
      </c>
      <c r="C25" s="1" t="s">
        <v>15</v>
      </c>
      <c r="D25" s="1" t="s">
        <v>16</v>
      </c>
    </row>
    <row r="26" spans="1:6" ht="18" customHeight="1" x14ac:dyDescent="0.2">
      <c r="A26" s="12">
        <v>45682</v>
      </c>
      <c r="B26" s="8" t="s">
        <v>34</v>
      </c>
      <c r="C26" s="1" t="s">
        <v>15</v>
      </c>
      <c r="D26" s="1" t="s">
        <v>16</v>
      </c>
      <c r="E26" s="13">
        <v>23</v>
      </c>
      <c r="F26" s="13">
        <v>0.3</v>
      </c>
    </row>
    <row r="27" spans="1:6" ht="18" customHeight="1" x14ac:dyDescent="0.2">
      <c r="A27" s="17">
        <v>45686</v>
      </c>
      <c r="B27" s="18" t="s">
        <v>35</v>
      </c>
      <c r="C27" s="1" t="s">
        <v>15</v>
      </c>
      <c r="D27" s="1" t="s">
        <v>16</v>
      </c>
      <c r="E27" s="19">
        <v>5</v>
      </c>
      <c r="F27" s="14">
        <v>0.03</v>
      </c>
    </row>
    <row r="28" spans="1:6" ht="20" customHeight="1" x14ac:dyDescent="0.2">
      <c r="A28" s="12">
        <v>45679</v>
      </c>
      <c r="B28" s="8" t="s">
        <v>36</v>
      </c>
      <c r="C28" s="1" t="s">
        <v>15</v>
      </c>
      <c r="D28" s="1" t="s">
        <v>16</v>
      </c>
      <c r="E28" s="16">
        <v>381</v>
      </c>
    </row>
    <row r="29" spans="1:6" ht="18" customHeight="1" x14ac:dyDescent="0.2">
      <c r="A29" s="12">
        <v>45692</v>
      </c>
      <c r="B29" s="8" t="s">
        <v>37</v>
      </c>
      <c r="C29" s="1" t="s">
        <v>15</v>
      </c>
      <c r="D29" s="1" t="s">
        <v>16</v>
      </c>
      <c r="E29" s="14">
        <v>3.5</v>
      </c>
      <c r="F29" s="14">
        <f>0.02</f>
        <v>0.02</v>
      </c>
    </row>
    <row r="30" spans="1:6" ht="18" customHeight="1" x14ac:dyDescent="0.2">
      <c r="A30" s="12">
        <v>45692</v>
      </c>
      <c r="B30" s="8" t="s">
        <v>38</v>
      </c>
      <c r="C30" s="1" t="s">
        <v>15</v>
      </c>
      <c r="D30" s="1" t="s">
        <v>16</v>
      </c>
      <c r="E30" s="14">
        <v>16</v>
      </c>
      <c r="F30" s="14" t="s">
        <v>39</v>
      </c>
    </row>
    <row r="31" spans="1:6" ht="18" customHeight="1" x14ac:dyDescent="0.2">
      <c r="A31" s="12">
        <v>45694</v>
      </c>
      <c r="B31" s="8" t="s">
        <v>40</v>
      </c>
      <c r="C31" s="1" t="s">
        <v>15</v>
      </c>
      <c r="D31" s="1" t="s">
        <v>16</v>
      </c>
      <c r="E31" s="14">
        <v>11</v>
      </c>
      <c r="F31" s="14">
        <v>0.05</v>
      </c>
    </row>
    <row r="32" spans="1:6" ht="18" customHeight="1" x14ac:dyDescent="0.2">
      <c r="A32" s="20" t="s">
        <v>41</v>
      </c>
      <c r="B32" s="8" t="s">
        <v>42</v>
      </c>
      <c r="C32" s="1" t="s">
        <v>15</v>
      </c>
      <c r="D32" s="1" t="s">
        <v>16</v>
      </c>
      <c r="E32" s="14">
        <v>211</v>
      </c>
      <c r="F32" s="14">
        <v>1.26</v>
      </c>
    </row>
    <row r="33" spans="1:10" x14ac:dyDescent="0.2">
      <c r="B33" s="7" t="s">
        <v>43</v>
      </c>
      <c r="C33" s="1" t="s">
        <v>15</v>
      </c>
      <c r="D33" s="1" t="s">
        <v>16</v>
      </c>
      <c r="E33" s="14">
        <v>0</v>
      </c>
    </row>
    <row r="34" spans="1:10" ht="18" customHeight="1" x14ac:dyDescent="0.2">
      <c r="A34" s="12">
        <v>45695</v>
      </c>
      <c r="B34" s="7" t="s">
        <v>44</v>
      </c>
      <c r="C34" s="1" t="s">
        <v>15</v>
      </c>
      <c r="D34" s="1" t="s">
        <v>16</v>
      </c>
      <c r="E34" s="14">
        <v>253</v>
      </c>
    </row>
    <row r="35" spans="1:10" ht="18" customHeight="1" x14ac:dyDescent="0.2">
      <c r="A35" s="12">
        <v>45695</v>
      </c>
      <c r="B35" s="7" t="s">
        <v>45</v>
      </c>
      <c r="C35" s="1" t="s">
        <v>15</v>
      </c>
      <c r="D35" s="1" t="s">
        <v>16</v>
      </c>
      <c r="E35" s="14">
        <v>1000</v>
      </c>
      <c r="F35" s="14">
        <v>5.1100000000000003</v>
      </c>
    </row>
    <row r="36" spans="1:10" ht="18" customHeight="1" x14ac:dyDescent="0.2">
      <c r="A36" s="12">
        <v>45696</v>
      </c>
      <c r="B36" s="8" t="s">
        <v>46</v>
      </c>
      <c r="C36" s="1" t="s">
        <v>15</v>
      </c>
      <c r="D36" s="1" t="s">
        <v>16</v>
      </c>
      <c r="E36" s="14">
        <v>35</v>
      </c>
      <c r="F36" s="14">
        <v>0.21</v>
      </c>
    </row>
    <row r="37" spans="1:10" ht="18" customHeight="1" x14ac:dyDescent="0.2">
      <c r="A37" s="12" t="s">
        <v>47</v>
      </c>
      <c r="B37" s="7" t="s">
        <v>48</v>
      </c>
      <c r="C37" s="1" t="s">
        <v>15</v>
      </c>
      <c r="D37" s="1" t="s">
        <v>16</v>
      </c>
      <c r="E37" s="14">
        <v>861</v>
      </c>
      <c r="F37">
        <v>5.165</v>
      </c>
    </row>
    <row r="38" spans="1:10" ht="18" customHeight="1" x14ac:dyDescent="0.2">
      <c r="A38" s="12" t="s">
        <v>49</v>
      </c>
      <c r="B38" s="8" t="s">
        <v>50</v>
      </c>
      <c r="C38" s="1" t="s">
        <v>15</v>
      </c>
      <c r="D38" s="1" t="s">
        <v>16</v>
      </c>
      <c r="E38" s="14">
        <v>21</v>
      </c>
      <c r="F38">
        <v>0.13</v>
      </c>
    </row>
    <row r="39" spans="1:10" ht="18" customHeight="1" x14ac:dyDescent="0.2">
      <c r="A39" s="12" t="s">
        <v>51</v>
      </c>
      <c r="B39" s="7" t="s">
        <v>52</v>
      </c>
      <c r="C39" s="1" t="s">
        <v>15</v>
      </c>
      <c r="D39" s="1" t="s">
        <v>16</v>
      </c>
      <c r="E39" s="14">
        <v>1571</v>
      </c>
      <c r="F39">
        <v>4.72</v>
      </c>
    </row>
    <row r="40" spans="1:10" ht="18" customHeight="1" x14ac:dyDescent="0.2">
      <c r="A40" s="12" t="s">
        <v>49</v>
      </c>
      <c r="B40" s="7" t="s">
        <v>53</v>
      </c>
      <c r="C40" s="1" t="s">
        <v>15</v>
      </c>
      <c r="D40" s="1" t="s">
        <v>16</v>
      </c>
      <c r="E40" s="14">
        <v>240</v>
      </c>
      <c r="F40">
        <v>1.35</v>
      </c>
    </row>
    <row r="41" spans="1:10" ht="18" customHeight="1" x14ac:dyDescent="0.2">
      <c r="A41" s="12" t="s">
        <v>51</v>
      </c>
      <c r="B41" s="8" t="s">
        <v>54</v>
      </c>
      <c r="C41" s="1" t="s">
        <v>15</v>
      </c>
      <c r="D41" s="1" t="s">
        <v>16</v>
      </c>
      <c r="E41" s="14">
        <v>56</v>
      </c>
      <c r="F41">
        <v>0</v>
      </c>
    </row>
    <row r="42" spans="1:10" ht="18" customHeight="1" x14ac:dyDescent="0.2">
      <c r="A42" s="12" t="s">
        <v>49</v>
      </c>
      <c r="B42" s="7" t="s">
        <v>55</v>
      </c>
      <c r="C42" s="1" t="s">
        <v>15</v>
      </c>
      <c r="D42" s="1" t="s">
        <v>16</v>
      </c>
      <c r="E42" s="14">
        <v>156</v>
      </c>
      <c r="F42">
        <v>0.56999999999999995</v>
      </c>
    </row>
    <row r="43" spans="1:10" ht="18" customHeight="1" x14ac:dyDescent="0.2">
      <c r="A43" s="12" t="s">
        <v>49</v>
      </c>
      <c r="B43" s="7" t="s">
        <v>56</v>
      </c>
      <c r="C43" s="1" t="s">
        <v>15</v>
      </c>
      <c r="D43" s="1" t="s">
        <v>16</v>
      </c>
      <c r="E43" s="14">
        <v>172</v>
      </c>
      <c r="F43">
        <v>0.34</v>
      </c>
    </row>
    <row r="44" spans="1:10" ht="18" customHeight="1" x14ac:dyDescent="0.2">
      <c r="A44" s="12" t="s">
        <v>49</v>
      </c>
      <c r="B44" s="7" t="s">
        <v>57</v>
      </c>
      <c r="C44" s="1" t="s">
        <v>15</v>
      </c>
      <c r="D44" s="1" t="s">
        <v>16</v>
      </c>
      <c r="E44" s="14">
        <v>177</v>
      </c>
      <c r="F44">
        <v>0.17</v>
      </c>
    </row>
    <row r="45" spans="1:10" x14ac:dyDescent="0.2">
      <c r="B45" s="7" t="s">
        <v>58</v>
      </c>
      <c r="C45" s="1" t="s">
        <v>15</v>
      </c>
      <c r="D45" s="1" t="s">
        <v>16</v>
      </c>
    </row>
    <row r="46" spans="1:10" ht="18" customHeight="1" x14ac:dyDescent="0.2">
      <c r="A46" s="12" t="s">
        <v>59</v>
      </c>
      <c r="B46" s="8" t="s">
        <v>60</v>
      </c>
      <c r="C46" s="1" t="s">
        <v>15</v>
      </c>
      <c r="D46" s="1" t="s">
        <v>16</v>
      </c>
      <c r="E46" s="14">
        <v>8</v>
      </c>
      <c r="F46">
        <v>0.03</v>
      </c>
    </row>
    <row r="47" spans="1:10" ht="18" customHeight="1" x14ac:dyDescent="0.2">
      <c r="A47" s="12" t="s">
        <v>59</v>
      </c>
      <c r="B47" s="7" t="s">
        <v>61</v>
      </c>
      <c r="C47" s="1" t="s">
        <v>15</v>
      </c>
      <c r="D47" s="1" t="s">
        <v>16</v>
      </c>
      <c r="E47" s="14">
        <v>703</v>
      </c>
      <c r="F47">
        <v>3.4</v>
      </c>
      <c r="I47" s="14">
        <f>SUM(E29:E48)</f>
        <v>5891.5</v>
      </c>
      <c r="J47" s="14">
        <f>I47-E46-E41-E38-E36-E32-E31-E30-E29</f>
        <v>5530</v>
      </c>
    </row>
    <row r="48" spans="1:10" x14ac:dyDescent="0.2">
      <c r="A48" t="s">
        <v>62</v>
      </c>
      <c r="B48" s="7" t="s">
        <v>63</v>
      </c>
      <c r="C48" s="1" t="s">
        <v>15</v>
      </c>
      <c r="D48" s="1" t="s">
        <v>16</v>
      </c>
      <c r="E48" s="14">
        <v>397</v>
      </c>
      <c r="F48">
        <v>1.4</v>
      </c>
    </row>
    <row r="49" spans="1:6" x14ac:dyDescent="0.2">
      <c r="A49" t="s">
        <v>62</v>
      </c>
      <c r="B49" s="7" t="s">
        <v>64</v>
      </c>
      <c r="C49" s="1" t="s">
        <v>15</v>
      </c>
      <c r="D49" s="1" t="s">
        <v>16</v>
      </c>
      <c r="E49" s="14">
        <v>751</v>
      </c>
      <c r="F49">
        <v>1</v>
      </c>
    </row>
    <row r="50" spans="1:6" x14ac:dyDescent="0.2">
      <c r="A50" t="s">
        <v>62</v>
      </c>
      <c r="B50" s="8" t="s">
        <v>65</v>
      </c>
      <c r="C50" s="1" t="s">
        <v>15</v>
      </c>
      <c r="D50" s="1" t="s">
        <v>16</v>
      </c>
      <c r="E50" s="14">
        <v>309</v>
      </c>
      <c r="F50">
        <v>1.853</v>
      </c>
    </row>
    <row r="51" spans="1:6" x14ac:dyDescent="0.2">
      <c r="A51" t="s">
        <v>62</v>
      </c>
      <c r="B51" s="7" t="s">
        <v>66</v>
      </c>
      <c r="C51" s="1" t="s">
        <v>15</v>
      </c>
      <c r="D51" s="1" t="s">
        <v>16</v>
      </c>
      <c r="E51">
        <v>2481</v>
      </c>
    </row>
    <row r="52" spans="1:6" x14ac:dyDescent="0.2">
      <c r="A52" t="s">
        <v>62</v>
      </c>
      <c r="B52" s="7" t="s">
        <v>67</v>
      </c>
      <c r="C52" s="1" t="s">
        <v>15</v>
      </c>
      <c r="D52" s="1" t="s">
        <v>16</v>
      </c>
      <c r="E52">
        <v>198</v>
      </c>
      <c r="F52">
        <v>0.50600000000000001</v>
      </c>
    </row>
    <row r="53" spans="1:6" x14ac:dyDescent="0.2">
      <c r="A53" t="s">
        <v>68</v>
      </c>
      <c r="B53" s="7" t="s">
        <v>69</v>
      </c>
      <c r="C53" s="1" t="s">
        <v>15</v>
      </c>
      <c r="D53" s="1" t="s">
        <v>16</v>
      </c>
      <c r="E53">
        <v>470</v>
      </c>
      <c r="F53">
        <v>2.81</v>
      </c>
    </row>
    <row r="54" spans="1:6" x14ac:dyDescent="0.2">
      <c r="A54" t="s">
        <v>62</v>
      </c>
      <c r="B54" s="7" t="s">
        <v>70</v>
      </c>
      <c r="C54" s="1" t="s">
        <v>15</v>
      </c>
      <c r="D54" s="1" t="s">
        <v>16</v>
      </c>
      <c r="E54">
        <v>1653</v>
      </c>
      <c r="F54">
        <v>9.9139999999999997</v>
      </c>
    </row>
    <row r="55" spans="1:6" x14ac:dyDescent="0.2">
      <c r="A55" t="s">
        <v>71</v>
      </c>
      <c r="B55" s="7" t="s">
        <v>72</v>
      </c>
      <c r="C55" s="1" t="s">
        <v>15</v>
      </c>
      <c r="D55" s="1" t="s">
        <v>16</v>
      </c>
      <c r="E55">
        <v>112</v>
      </c>
      <c r="F55">
        <v>0</v>
      </c>
    </row>
    <row r="56" spans="1:6" x14ac:dyDescent="0.2">
      <c r="A56" t="s">
        <v>73</v>
      </c>
      <c r="B56" s="8" t="s">
        <v>74</v>
      </c>
      <c r="C56" s="1" t="s">
        <v>15</v>
      </c>
      <c r="D56" s="1" t="s">
        <v>16</v>
      </c>
      <c r="E56">
        <v>6.5</v>
      </c>
      <c r="F56">
        <v>3.7999999999999999E-2</v>
      </c>
    </row>
    <row r="57" spans="1:6" x14ac:dyDescent="0.2">
      <c r="A57" t="s">
        <v>75</v>
      </c>
      <c r="B57" s="7" t="s">
        <v>76</v>
      </c>
      <c r="C57" s="1" t="s">
        <v>15</v>
      </c>
      <c r="D57" s="1" t="s">
        <v>16</v>
      </c>
      <c r="E57">
        <v>106</v>
      </c>
      <c r="F57">
        <v>0.57999999999999996</v>
      </c>
    </row>
    <row r="58" spans="1:6" x14ac:dyDescent="0.2">
      <c r="A58" t="s">
        <v>73</v>
      </c>
      <c r="B58" s="7" t="s">
        <v>77</v>
      </c>
      <c r="C58" s="1" t="s">
        <v>15</v>
      </c>
      <c r="D58" s="1" t="s">
        <v>16</v>
      </c>
      <c r="E58">
        <v>2807</v>
      </c>
      <c r="F58">
        <v>16.838999999999999</v>
      </c>
    </row>
    <row r="59" spans="1:6" x14ac:dyDescent="0.2">
      <c r="A59" t="s">
        <v>75</v>
      </c>
      <c r="B59" s="7" t="s">
        <v>78</v>
      </c>
    </row>
    <row r="60" spans="1:6" x14ac:dyDescent="0.2">
      <c r="A60" t="s">
        <v>68</v>
      </c>
      <c r="B60" s="7" t="s">
        <v>79</v>
      </c>
      <c r="E60">
        <v>120</v>
      </c>
      <c r="F60">
        <v>0</v>
      </c>
    </row>
    <row r="61" spans="1:6" x14ac:dyDescent="0.2">
      <c r="A61" t="s">
        <v>68</v>
      </c>
      <c r="B61" s="7" t="s">
        <v>80</v>
      </c>
      <c r="E61">
        <v>1048</v>
      </c>
      <c r="F61">
        <v>1</v>
      </c>
    </row>
    <row r="62" spans="1:6" x14ac:dyDescent="0.2">
      <c r="A62" t="s">
        <v>75</v>
      </c>
      <c r="B62" s="7" t="s">
        <v>81</v>
      </c>
      <c r="E62">
        <v>201</v>
      </c>
      <c r="F62">
        <v>0</v>
      </c>
    </row>
    <row r="63" spans="1:6" x14ac:dyDescent="0.2">
      <c r="A63" t="s">
        <v>75</v>
      </c>
      <c r="B63" s="7" t="s">
        <v>82</v>
      </c>
      <c r="E63">
        <v>536</v>
      </c>
      <c r="F63">
        <v>2.9729999999999999</v>
      </c>
    </row>
    <row r="64" spans="1:6" x14ac:dyDescent="0.2">
      <c r="A64" t="s">
        <v>75</v>
      </c>
      <c r="B64" s="7" t="s">
        <v>83</v>
      </c>
      <c r="E64">
        <v>37</v>
      </c>
      <c r="F64">
        <v>0.16800000000000001</v>
      </c>
    </row>
    <row r="65" spans="1:6" x14ac:dyDescent="0.2">
      <c r="A65" t="s">
        <v>75</v>
      </c>
      <c r="B65" s="7" t="s">
        <v>84</v>
      </c>
      <c r="E65">
        <v>218</v>
      </c>
      <c r="F65">
        <v>0</v>
      </c>
    </row>
    <row r="66" spans="1:6" x14ac:dyDescent="0.2">
      <c r="A66" t="s">
        <v>85</v>
      </c>
      <c r="B66" s="7" t="s">
        <v>86</v>
      </c>
      <c r="E66">
        <v>56</v>
      </c>
      <c r="F66">
        <v>0.33</v>
      </c>
    </row>
    <row r="67" spans="1:6" x14ac:dyDescent="0.2">
      <c r="B67" s="7" t="s">
        <v>87</v>
      </c>
    </row>
    <row r="68" spans="1:6" x14ac:dyDescent="0.2">
      <c r="A68" t="s">
        <v>68</v>
      </c>
      <c r="B68" s="7" t="s">
        <v>88</v>
      </c>
      <c r="E68">
        <v>84</v>
      </c>
      <c r="F68">
        <v>0.18</v>
      </c>
    </row>
    <row r="69" spans="1:6" x14ac:dyDescent="0.2">
      <c r="A69" t="s">
        <v>85</v>
      </c>
      <c r="B69" s="7" t="s">
        <v>89</v>
      </c>
      <c r="E69">
        <v>70</v>
      </c>
      <c r="F69">
        <v>7.2999999999999995E-2</v>
      </c>
    </row>
    <row r="70" spans="1:6" x14ac:dyDescent="0.2">
      <c r="A70" t="s">
        <v>90</v>
      </c>
      <c r="B70" s="7" t="s">
        <v>91</v>
      </c>
      <c r="E70">
        <v>112</v>
      </c>
      <c r="F70">
        <v>0.23</v>
      </c>
    </row>
    <row r="71" spans="1:6" x14ac:dyDescent="0.2">
      <c r="B71" s="7" t="s">
        <v>92</v>
      </c>
    </row>
    <row r="72" spans="1:6" x14ac:dyDescent="0.2">
      <c r="A72" t="s">
        <v>90</v>
      </c>
      <c r="B72" s="7" t="s">
        <v>93</v>
      </c>
      <c r="E72">
        <v>601</v>
      </c>
      <c r="F72">
        <v>3.32</v>
      </c>
    </row>
    <row r="73" spans="1:6" x14ac:dyDescent="0.2">
      <c r="A73" t="s">
        <v>85</v>
      </c>
      <c r="B73" s="7" t="s">
        <v>94</v>
      </c>
      <c r="E73">
        <v>574</v>
      </c>
    </row>
    <row r="74" spans="1:6" x14ac:dyDescent="0.2">
      <c r="A74" t="s">
        <v>68</v>
      </c>
      <c r="B74" s="7" t="s">
        <v>95</v>
      </c>
      <c r="E74">
        <v>83</v>
      </c>
      <c r="F74">
        <v>0.13</v>
      </c>
    </row>
    <row r="75" spans="1:6" x14ac:dyDescent="0.2">
      <c r="A75" t="s">
        <v>96</v>
      </c>
      <c r="B75" s="7" t="s">
        <v>97</v>
      </c>
      <c r="E75">
        <v>2113</v>
      </c>
      <c r="F75">
        <v>0</v>
      </c>
    </row>
    <row r="76" spans="1:6" x14ac:dyDescent="0.2">
      <c r="A76" t="s">
        <v>68</v>
      </c>
      <c r="B76" s="7" t="s">
        <v>98</v>
      </c>
      <c r="E76">
        <v>204</v>
      </c>
      <c r="F76">
        <v>1.23</v>
      </c>
    </row>
    <row r="77" spans="1:6" x14ac:dyDescent="0.2">
      <c r="A77" t="s">
        <v>68</v>
      </c>
      <c r="B77" s="7" t="s">
        <v>99</v>
      </c>
      <c r="E77">
        <v>62</v>
      </c>
      <c r="F77">
        <v>0.2</v>
      </c>
    </row>
    <row r="78" spans="1:6" x14ac:dyDescent="0.2">
      <c r="A78" t="s">
        <v>96</v>
      </c>
      <c r="B78" s="7" t="s">
        <v>100</v>
      </c>
      <c r="E78">
        <v>492</v>
      </c>
      <c r="F78">
        <v>0</v>
      </c>
    </row>
    <row r="79" spans="1:6" x14ac:dyDescent="0.2">
      <c r="A79" t="s">
        <v>101</v>
      </c>
      <c r="B79" s="7" t="s">
        <v>102</v>
      </c>
      <c r="E79">
        <v>178</v>
      </c>
      <c r="F79">
        <v>0</v>
      </c>
    </row>
    <row r="80" spans="1:6" hidden="1" x14ac:dyDescent="0.2">
      <c r="A80" t="s">
        <v>103</v>
      </c>
      <c r="B80" s="7" t="s">
        <v>104</v>
      </c>
      <c r="E80">
        <v>50</v>
      </c>
      <c r="F80">
        <v>0.06</v>
      </c>
    </row>
    <row r="81" spans="1:6" x14ac:dyDescent="0.2">
      <c r="A81" t="s">
        <v>105</v>
      </c>
      <c r="B81" s="7" t="s">
        <v>106</v>
      </c>
      <c r="E81">
        <v>507</v>
      </c>
    </row>
    <row r="82" spans="1:6" x14ac:dyDescent="0.2">
      <c r="A82" t="s">
        <v>107</v>
      </c>
      <c r="B82" s="7" t="s">
        <v>108</v>
      </c>
      <c r="E82">
        <v>179</v>
      </c>
      <c r="F82">
        <v>0.25</v>
      </c>
    </row>
    <row r="83" spans="1:6" x14ac:dyDescent="0.2">
      <c r="A83" t="s">
        <v>107</v>
      </c>
      <c r="B83" s="7" t="s">
        <v>109</v>
      </c>
      <c r="E83">
        <v>281</v>
      </c>
      <c r="F83">
        <v>1.68</v>
      </c>
    </row>
    <row r="84" spans="1:6" x14ac:dyDescent="0.2">
      <c r="A84" t="s">
        <v>90</v>
      </c>
      <c r="B84" s="7" t="s">
        <v>110</v>
      </c>
      <c r="E84">
        <v>119</v>
      </c>
      <c r="F84">
        <v>0.4</v>
      </c>
    </row>
    <row r="85" spans="1:6" x14ac:dyDescent="0.2">
      <c r="A85" t="s">
        <v>107</v>
      </c>
      <c r="B85" s="7" t="s">
        <v>111</v>
      </c>
      <c r="E85">
        <v>348</v>
      </c>
      <c r="F85">
        <v>0.67200000000000004</v>
      </c>
    </row>
    <row r="86" spans="1:6" x14ac:dyDescent="0.2">
      <c r="A86" t="s">
        <v>107</v>
      </c>
      <c r="B86" s="7" t="s">
        <v>112</v>
      </c>
      <c r="E86">
        <v>113</v>
      </c>
      <c r="F86">
        <v>0.1</v>
      </c>
    </row>
    <row r="87" spans="1:6" x14ac:dyDescent="0.2">
      <c r="A87" t="s">
        <v>107</v>
      </c>
      <c r="B87" s="7" t="s">
        <v>113</v>
      </c>
      <c r="E87">
        <v>1597</v>
      </c>
      <c r="F87">
        <v>2.5499999999999998</v>
      </c>
    </row>
    <row r="88" spans="1:6" hidden="1" x14ac:dyDescent="0.2">
      <c r="A88" t="s">
        <v>114</v>
      </c>
      <c r="B88" s="7" t="s">
        <v>115</v>
      </c>
      <c r="E88">
        <v>637</v>
      </c>
    </row>
    <row r="89" spans="1:6" x14ac:dyDescent="0.2">
      <c r="A89" t="s">
        <v>75</v>
      </c>
      <c r="B89" s="7" t="s">
        <v>116</v>
      </c>
      <c r="E89">
        <v>222</v>
      </c>
      <c r="F89">
        <v>0.86</v>
      </c>
    </row>
    <row r="90" spans="1:6" x14ac:dyDescent="0.2">
      <c r="A90" t="s">
        <v>105</v>
      </c>
      <c r="B90" s="7" t="s">
        <v>117</v>
      </c>
      <c r="E90">
        <v>1000</v>
      </c>
      <c r="F90">
        <v>1.62</v>
      </c>
    </row>
    <row r="91" spans="1:6" x14ac:dyDescent="0.2">
      <c r="A91" t="s">
        <v>75</v>
      </c>
      <c r="B91" s="7" t="s">
        <v>118</v>
      </c>
      <c r="E91">
        <v>81</v>
      </c>
      <c r="F91">
        <v>0.19</v>
      </c>
    </row>
    <row r="92" spans="1:6" x14ac:dyDescent="0.2">
      <c r="A92" t="s">
        <v>107</v>
      </c>
      <c r="B92" s="7" t="s">
        <v>119</v>
      </c>
      <c r="E92">
        <v>1296</v>
      </c>
      <c r="F92">
        <v>7.76</v>
      </c>
    </row>
    <row r="93" spans="1:6" x14ac:dyDescent="0.2">
      <c r="A93" t="s">
        <v>101</v>
      </c>
      <c r="B93" s="7" t="s">
        <v>120</v>
      </c>
      <c r="E93">
        <v>166</v>
      </c>
      <c r="F93">
        <v>0</v>
      </c>
    </row>
    <row r="94" spans="1:6" hidden="1" x14ac:dyDescent="0.2">
      <c r="A94" t="s">
        <v>121</v>
      </c>
      <c r="B94" s="7" t="s">
        <v>122</v>
      </c>
      <c r="E94">
        <v>305</v>
      </c>
      <c r="F94">
        <v>0.82</v>
      </c>
    </row>
    <row r="95" spans="1:6" x14ac:dyDescent="0.2">
      <c r="A95" t="s">
        <v>96</v>
      </c>
      <c r="B95" s="7" t="s">
        <v>123</v>
      </c>
      <c r="E95">
        <v>158</v>
      </c>
      <c r="F95">
        <v>0.39400000000000002</v>
      </c>
    </row>
    <row r="96" spans="1:6" x14ac:dyDescent="0.2">
      <c r="A96" t="s">
        <v>105</v>
      </c>
      <c r="B96" s="7" t="s">
        <v>124</v>
      </c>
      <c r="E96">
        <v>86</v>
      </c>
      <c r="F96">
        <v>0.22</v>
      </c>
    </row>
    <row r="97" spans="1:10" x14ac:dyDescent="0.2">
      <c r="A97" t="s">
        <v>105</v>
      </c>
      <c r="B97" s="7" t="s">
        <v>125</v>
      </c>
      <c r="E97">
        <v>453</v>
      </c>
    </row>
    <row r="98" spans="1:10" x14ac:dyDescent="0.2">
      <c r="A98" t="s">
        <v>101</v>
      </c>
      <c r="B98" s="7" t="s">
        <v>126</v>
      </c>
      <c r="E98">
        <v>1000</v>
      </c>
      <c r="F98">
        <v>0</v>
      </c>
    </row>
    <row r="99" spans="1:10" x14ac:dyDescent="0.2">
      <c r="A99" t="s">
        <v>96</v>
      </c>
      <c r="B99" s="7" t="s">
        <v>127</v>
      </c>
      <c r="E99">
        <v>60</v>
      </c>
      <c r="F99">
        <v>0.06</v>
      </c>
    </row>
    <row r="100" spans="1:10" x14ac:dyDescent="0.2">
      <c r="A100" t="s">
        <v>96</v>
      </c>
      <c r="B100" s="7" t="s">
        <v>128</v>
      </c>
      <c r="E100">
        <v>229</v>
      </c>
      <c r="F100">
        <v>0</v>
      </c>
    </row>
    <row r="101" spans="1:10" x14ac:dyDescent="0.2">
      <c r="A101" t="s">
        <v>96</v>
      </c>
      <c r="B101" s="7" t="s">
        <v>129</v>
      </c>
      <c r="E101">
        <v>101</v>
      </c>
      <c r="F101">
        <v>0.38</v>
      </c>
    </row>
    <row r="102" spans="1:10" x14ac:dyDescent="0.2">
      <c r="A102" t="s">
        <v>90</v>
      </c>
      <c r="B102" s="7" t="s">
        <v>130</v>
      </c>
      <c r="E102">
        <v>293</v>
      </c>
      <c r="F102">
        <v>0.84</v>
      </c>
    </row>
    <row r="103" spans="1:10" ht="16" thickBot="1" x14ac:dyDescent="0.25">
      <c r="A103" t="s">
        <v>105</v>
      </c>
      <c r="B103" s="7" t="s">
        <v>131</v>
      </c>
      <c r="E103">
        <v>256</v>
      </c>
      <c r="F103">
        <v>0.48</v>
      </c>
    </row>
    <row r="104" spans="1:10" hidden="1" x14ac:dyDescent="0.2">
      <c r="A104" t="s">
        <v>114</v>
      </c>
      <c r="B104" s="7" t="s">
        <v>132</v>
      </c>
      <c r="E104">
        <v>139</v>
      </c>
      <c r="F104">
        <v>0.33</v>
      </c>
    </row>
    <row r="105" spans="1:10" s="30" customFormat="1" ht="16" thickBot="1" x14ac:dyDescent="0.25">
      <c r="A105" s="32" t="s">
        <v>158</v>
      </c>
      <c r="B105" s="29" t="s">
        <v>133</v>
      </c>
      <c r="E105" s="31">
        <v>429</v>
      </c>
      <c r="F105" s="31">
        <v>1.53</v>
      </c>
      <c r="G105" s="31"/>
      <c r="H105" s="31"/>
      <c r="I105" s="31"/>
      <c r="J105" s="31"/>
    </row>
    <row r="106" spans="1:10" x14ac:dyDescent="0.2">
      <c r="A106" t="s">
        <v>96</v>
      </c>
      <c r="B106" s="28" t="s">
        <v>134</v>
      </c>
      <c r="E106">
        <v>91</v>
      </c>
      <c r="F106">
        <v>0.153</v>
      </c>
    </row>
    <row r="107" spans="1:10" s="24" customFormat="1" ht="16" thickBot="1" x14ac:dyDescent="0.25">
      <c r="A107" s="22" t="s">
        <v>101</v>
      </c>
      <c r="B107" s="23" t="s">
        <v>135</v>
      </c>
      <c r="E107" s="22">
        <v>314</v>
      </c>
      <c r="F107" s="22">
        <v>1.8839999999999999</v>
      </c>
      <c r="G107" s="25"/>
      <c r="H107" s="25"/>
      <c r="I107" s="25"/>
      <c r="J107" s="25"/>
    </row>
    <row r="108" spans="1:10" hidden="1" x14ac:dyDescent="0.2">
      <c r="A108" t="s">
        <v>114</v>
      </c>
      <c r="B108" s="21" t="s">
        <v>136</v>
      </c>
      <c r="E108">
        <v>516</v>
      </c>
      <c r="F108">
        <v>0</v>
      </c>
    </row>
    <row r="109" spans="1:10" hidden="1" x14ac:dyDescent="0.2">
      <c r="A109" t="s">
        <v>114</v>
      </c>
      <c r="B109" s="21" t="s">
        <v>137</v>
      </c>
      <c r="E109">
        <v>862</v>
      </c>
      <c r="F109">
        <v>0</v>
      </c>
    </row>
    <row r="110" spans="1:10" x14ac:dyDescent="0.2">
      <c r="A110" t="s">
        <v>138</v>
      </c>
      <c r="B110" s="26" t="s">
        <v>139</v>
      </c>
      <c r="E110">
        <v>6</v>
      </c>
      <c r="F110">
        <v>0.03</v>
      </c>
    </row>
    <row r="111" spans="1:10" x14ac:dyDescent="0.2">
      <c r="A111" t="s">
        <v>140</v>
      </c>
      <c r="B111" s="21" t="s">
        <v>141</v>
      </c>
      <c r="E111">
        <v>269</v>
      </c>
      <c r="F111">
        <v>0.31900000000000001</v>
      </c>
    </row>
    <row r="112" spans="1:10" x14ac:dyDescent="0.2">
      <c r="A112" t="s">
        <v>142</v>
      </c>
      <c r="B112" s="21" t="s">
        <v>143</v>
      </c>
      <c r="E112">
        <v>150</v>
      </c>
      <c r="F112">
        <v>0.47</v>
      </c>
    </row>
    <row r="113" spans="1:17" x14ac:dyDescent="0.2">
      <c r="A113" t="s">
        <v>144</v>
      </c>
      <c r="B113" s="21" t="s">
        <v>145</v>
      </c>
      <c r="E113">
        <v>305</v>
      </c>
      <c r="F113">
        <v>1</v>
      </c>
    </row>
    <row r="114" spans="1:17" x14ac:dyDescent="0.2">
      <c r="A114" t="s">
        <v>146</v>
      </c>
      <c r="B114" s="21" t="s">
        <v>147</v>
      </c>
      <c r="E114">
        <v>189</v>
      </c>
      <c r="F114">
        <v>0.89</v>
      </c>
    </row>
    <row r="115" spans="1:17" x14ac:dyDescent="0.2">
      <c r="A115" t="s">
        <v>146</v>
      </c>
      <c r="B115" s="21" t="s">
        <v>148</v>
      </c>
      <c r="E115">
        <v>263</v>
      </c>
      <c r="F115">
        <v>0.97</v>
      </c>
    </row>
    <row r="116" spans="1:17" x14ac:dyDescent="0.2">
      <c r="B116" s="21" t="s">
        <v>149</v>
      </c>
    </row>
    <row r="117" spans="1:17" x14ac:dyDescent="0.2">
      <c r="A117" t="s">
        <v>138</v>
      </c>
      <c r="B117" s="21" t="s">
        <v>150</v>
      </c>
      <c r="E117">
        <v>319</v>
      </c>
      <c r="F117">
        <v>1</v>
      </c>
    </row>
    <row r="118" spans="1:17" x14ac:dyDescent="0.2">
      <c r="A118" t="s">
        <v>151</v>
      </c>
      <c r="B118" s="21" t="s">
        <v>152</v>
      </c>
      <c r="E118">
        <v>1368</v>
      </c>
      <c r="F118">
        <v>0</v>
      </c>
    </row>
    <row r="119" spans="1:17" x14ac:dyDescent="0.2">
      <c r="A119" t="s">
        <v>153</v>
      </c>
      <c r="B119" s="21" t="s">
        <v>154</v>
      </c>
      <c r="E119">
        <v>216</v>
      </c>
      <c r="F119">
        <v>0.1</v>
      </c>
    </row>
    <row r="120" spans="1:17" x14ac:dyDescent="0.2">
      <c r="A120" t="s">
        <v>155</v>
      </c>
      <c r="B120" s="21" t="s">
        <v>156</v>
      </c>
      <c r="E120">
        <v>1848</v>
      </c>
      <c r="F120">
        <v>0</v>
      </c>
    </row>
    <row r="121" spans="1:17" x14ac:dyDescent="0.2">
      <c r="A121" t="s">
        <v>155</v>
      </c>
      <c r="B121" s="21" t="s">
        <v>157</v>
      </c>
      <c r="E121">
        <v>1342</v>
      </c>
      <c r="F121">
        <v>0.3</v>
      </c>
    </row>
    <row r="122" spans="1:17" x14ac:dyDescent="0.2">
      <c r="A122" t="s">
        <v>158</v>
      </c>
      <c r="B122" s="27" t="s">
        <v>159</v>
      </c>
      <c r="E122">
        <v>74</v>
      </c>
      <c r="F122">
        <v>0.28000000000000003</v>
      </c>
      <c r="G122" s="14" t="s">
        <v>175</v>
      </c>
    </row>
    <row r="123" spans="1:17" x14ac:dyDescent="0.2">
      <c r="A123" t="s">
        <v>158</v>
      </c>
      <c r="B123" s="21" t="s">
        <v>160</v>
      </c>
      <c r="E123">
        <v>861</v>
      </c>
      <c r="F123">
        <v>0</v>
      </c>
    </row>
    <row r="124" spans="1:17" x14ac:dyDescent="0.2">
      <c r="A124" t="s">
        <v>144</v>
      </c>
      <c r="B124" s="27" t="s">
        <v>161</v>
      </c>
      <c r="E124">
        <v>11</v>
      </c>
      <c r="F124">
        <v>7.0000000000000007E-2</v>
      </c>
    </row>
    <row r="125" spans="1:17" x14ac:dyDescent="0.2">
      <c r="B125" s="21" t="s">
        <v>162</v>
      </c>
    </row>
    <row r="126" spans="1:17" x14ac:dyDescent="0.2">
      <c r="A126" t="s">
        <v>142</v>
      </c>
      <c r="B126" s="26" t="s">
        <v>164</v>
      </c>
      <c r="E126">
        <v>32</v>
      </c>
      <c r="F126">
        <v>0.191</v>
      </c>
    </row>
    <row r="127" spans="1:17" x14ac:dyDescent="0.2">
      <c r="B127" s="21" t="s">
        <v>166</v>
      </c>
    </row>
    <row r="128" spans="1:17" x14ac:dyDescent="0.2">
      <c r="A128" t="s">
        <v>153</v>
      </c>
      <c r="B128" s="27" t="s">
        <v>167</v>
      </c>
      <c r="E128">
        <v>46</v>
      </c>
      <c r="F128">
        <v>0</v>
      </c>
      <c r="J128" s="14" t="s">
        <v>211</v>
      </c>
      <c r="K128" s="1" t="s">
        <v>203</v>
      </c>
      <c r="L128" s="1" t="s">
        <v>204</v>
      </c>
      <c r="M128" s="1" t="s">
        <v>205</v>
      </c>
      <c r="N128" s="1" t="s">
        <v>206</v>
      </c>
      <c r="O128" s="1" t="s">
        <v>207</v>
      </c>
      <c r="P128" s="1" t="s">
        <v>208</v>
      </c>
      <c r="Q128" s="1" t="s">
        <v>209</v>
      </c>
    </row>
    <row r="129" spans="1:19" x14ac:dyDescent="0.2">
      <c r="A129" t="s">
        <v>153</v>
      </c>
      <c r="B129" s="26" t="s">
        <v>168</v>
      </c>
      <c r="E129">
        <v>581</v>
      </c>
      <c r="F129">
        <v>0</v>
      </c>
      <c r="K129" s="1" t="s">
        <v>212</v>
      </c>
      <c r="L129" s="1" t="s">
        <v>213</v>
      </c>
      <c r="M129" s="1" t="s">
        <v>185</v>
      </c>
      <c r="N129" s="1" t="s">
        <v>214</v>
      </c>
      <c r="O129" s="1" t="s">
        <v>215</v>
      </c>
      <c r="P129" s="1" t="s">
        <v>198</v>
      </c>
      <c r="Q129" s="1" t="s">
        <v>216</v>
      </c>
      <c r="S129" s="1" t="s">
        <v>218</v>
      </c>
    </row>
    <row r="130" spans="1:19" x14ac:dyDescent="0.2">
      <c r="B130" s="33" t="s">
        <v>169</v>
      </c>
      <c r="C130" s="1" t="s">
        <v>182</v>
      </c>
      <c r="K130" s="1" t="s">
        <v>222</v>
      </c>
      <c r="L130" s="1" t="s">
        <v>219</v>
      </c>
      <c r="M130" s="1" t="s">
        <v>219</v>
      </c>
      <c r="N130" s="1" t="s">
        <v>220</v>
      </c>
      <c r="O130" s="1" t="s">
        <v>221</v>
      </c>
      <c r="P130" s="1" t="s">
        <v>213</v>
      </c>
      <c r="Q130" s="1" t="s">
        <v>185</v>
      </c>
      <c r="S130" s="1" t="s">
        <v>217</v>
      </c>
    </row>
    <row r="131" spans="1:19" x14ac:dyDescent="0.2">
      <c r="B131" s="9" t="s">
        <v>176</v>
      </c>
      <c r="C131" s="1" t="s">
        <v>183</v>
      </c>
      <c r="H131" s="14">
        <f>E129+E126+E110</f>
        <v>619</v>
      </c>
      <c r="I131" s="14">
        <f>C130+C131+C132+C137</f>
        <v>517</v>
      </c>
    </row>
    <row r="132" spans="1:19" x14ac:dyDescent="0.2">
      <c r="B132" s="33" t="s">
        <v>170</v>
      </c>
      <c r="C132" s="1" t="s">
        <v>184</v>
      </c>
    </row>
    <row r="133" spans="1:19" x14ac:dyDescent="0.2">
      <c r="B133" s="34" t="s">
        <v>171</v>
      </c>
    </row>
    <row r="134" spans="1:19" ht="18" x14ac:dyDescent="0.2">
      <c r="B134" s="35" t="s">
        <v>172</v>
      </c>
      <c r="J134" s="14" t="s">
        <v>210</v>
      </c>
    </row>
    <row r="135" spans="1:19" ht="18" x14ac:dyDescent="0.2">
      <c r="B135" s="35" t="s">
        <v>173</v>
      </c>
      <c r="K135" s="1" t="s">
        <v>203</v>
      </c>
      <c r="L135" s="1" t="s">
        <v>204</v>
      </c>
      <c r="M135" s="1" t="s">
        <v>205</v>
      </c>
      <c r="N135" s="1" t="s">
        <v>206</v>
      </c>
      <c r="O135" s="1" t="s">
        <v>207</v>
      </c>
      <c r="P135" s="1" t="s">
        <v>208</v>
      </c>
      <c r="Q135" s="1" t="s">
        <v>209</v>
      </c>
    </row>
    <row r="136" spans="1:19" x14ac:dyDescent="0.2">
      <c r="B136" s="34" t="s">
        <v>174</v>
      </c>
      <c r="K136" s="1" t="s">
        <v>197</v>
      </c>
      <c r="L136" s="1" t="s">
        <v>185</v>
      </c>
      <c r="M136" s="1" t="s">
        <v>198</v>
      </c>
      <c r="N136" s="1" t="s">
        <v>199</v>
      </c>
      <c r="O136" s="1" t="s">
        <v>200</v>
      </c>
      <c r="P136" s="1" t="s">
        <v>201</v>
      </c>
      <c r="Q136" s="1" t="s">
        <v>202</v>
      </c>
    </row>
    <row r="137" spans="1:19" x14ac:dyDescent="0.2">
      <c r="B137" s="9" t="s">
        <v>177</v>
      </c>
      <c r="C137" s="1" t="s">
        <v>185</v>
      </c>
    </row>
    <row r="138" spans="1:19" x14ac:dyDescent="0.2">
      <c r="B138" s="36" t="s">
        <v>165</v>
      </c>
    </row>
    <row r="139" spans="1:19" x14ac:dyDescent="0.2">
      <c r="B139" s="34" t="s">
        <v>163</v>
      </c>
    </row>
    <row r="140" spans="1:19" x14ac:dyDescent="0.2">
      <c r="B140" s="39" t="s">
        <v>178</v>
      </c>
    </row>
    <row r="141" spans="1:19" x14ac:dyDescent="0.2">
      <c r="B141" s="38" t="s">
        <v>179</v>
      </c>
    </row>
    <row r="142" spans="1:19" x14ac:dyDescent="0.2">
      <c r="B142" s="39" t="s">
        <v>180</v>
      </c>
    </row>
    <row r="143" spans="1:19" ht="18" x14ac:dyDescent="0.2">
      <c r="B143" s="40" t="s">
        <v>181</v>
      </c>
    </row>
    <row r="144" spans="1:19" ht="16" x14ac:dyDescent="0.2">
      <c r="B144" s="41" t="s">
        <v>186</v>
      </c>
    </row>
    <row r="145" spans="2:2" x14ac:dyDescent="0.2">
      <c r="B145" s="27" t="s">
        <v>187</v>
      </c>
    </row>
    <row r="146" spans="2:2" x14ac:dyDescent="0.2">
      <c r="B146" s="26" t="s">
        <v>188</v>
      </c>
    </row>
    <row r="147" spans="2:2" ht="18" x14ac:dyDescent="0.2">
      <c r="B147" s="42" t="s">
        <v>189</v>
      </c>
    </row>
    <row r="148" spans="2:2" ht="18" x14ac:dyDescent="0.2">
      <c r="B148" s="42" t="s">
        <v>190</v>
      </c>
    </row>
    <row r="149" spans="2:2" ht="18" x14ac:dyDescent="0.2">
      <c r="B149" s="42" t="s">
        <v>191</v>
      </c>
    </row>
    <row r="150" spans="2:2" ht="18" x14ac:dyDescent="0.2">
      <c r="B150" s="42" t="s">
        <v>192</v>
      </c>
    </row>
    <row r="151" spans="2:2" x14ac:dyDescent="0.2">
      <c r="B151" s="26" t="s">
        <v>193</v>
      </c>
    </row>
    <row r="152" spans="2:2" x14ac:dyDescent="0.2">
      <c r="B152" s="26" t="s">
        <v>194</v>
      </c>
    </row>
    <row r="153" spans="2:2" x14ac:dyDescent="0.2">
      <c r="B153" s="26" t="s">
        <v>195</v>
      </c>
    </row>
    <row r="154" spans="2:2" x14ac:dyDescent="0.2">
      <c r="B154" s="26" t="s">
        <v>196</v>
      </c>
    </row>
    <row r="155" spans="2:2" ht="17" x14ac:dyDescent="0.2">
      <c r="B155" s="43" t="s">
        <v>223</v>
      </c>
    </row>
    <row r="156" spans="2:2" ht="16" x14ac:dyDescent="0.2">
      <c r="B156" s="41" t="s">
        <v>224</v>
      </c>
    </row>
    <row r="157" spans="2:2" x14ac:dyDescent="0.2">
      <c r="B157" s="37"/>
    </row>
    <row r="158" spans="2:2" x14ac:dyDescent="0.2">
      <c r="B158" s="37"/>
    </row>
    <row r="159" spans="2:2" x14ac:dyDescent="0.2">
      <c r="B159" s="37"/>
    </row>
    <row r="160" spans="2:2" x14ac:dyDescent="0.2">
      <c r="B160" s="21"/>
    </row>
    <row r="161" spans="2:2" x14ac:dyDescent="0.2">
      <c r="B161" s="21"/>
    </row>
    <row r="162" spans="2:2" x14ac:dyDescent="0.2">
      <c r="B162" s="21"/>
    </row>
    <row r="163" spans="2:2" x14ac:dyDescent="0.2">
      <c r="B163" s="21"/>
    </row>
    <row r="164" spans="2:2" x14ac:dyDescent="0.2">
      <c r="B164" s="21"/>
    </row>
    <row r="165" spans="2:2" x14ac:dyDescent="0.2">
      <c r="B165" s="21"/>
    </row>
    <row r="166" spans="2:2" x14ac:dyDescent="0.2">
      <c r="B166" s="21"/>
    </row>
    <row r="167" spans="2:2" x14ac:dyDescent="0.2">
      <c r="B167" s="21"/>
    </row>
    <row r="168" spans="2:2" x14ac:dyDescent="0.2">
      <c r="B168" s="21"/>
    </row>
    <row r="169" spans="2:2" x14ac:dyDescent="0.2">
      <c r="B169" s="21"/>
    </row>
    <row r="170" spans="2:2" x14ac:dyDescent="0.2">
      <c r="B170" s="21"/>
    </row>
    <row r="171" spans="2:2" x14ac:dyDescent="0.2">
      <c r="B171" s="21"/>
    </row>
    <row r="172" spans="2:2" x14ac:dyDescent="0.2">
      <c r="B172" s="21"/>
    </row>
    <row r="173" spans="2:2" x14ac:dyDescent="0.2">
      <c r="B173" s="21"/>
    </row>
    <row r="174" spans="2:2" x14ac:dyDescent="0.2">
      <c r="B174" s="21"/>
    </row>
    <row r="175" spans="2:2" x14ac:dyDescent="0.2">
      <c r="B175" s="21"/>
    </row>
    <row r="176" spans="2:2" x14ac:dyDescent="0.2">
      <c r="B176" s="21"/>
    </row>
    <row r="177" spans="2:2" x14ac:dyDescent="0.2">
      <c r="B177" s="21"/>
    </row>
    <row r="178" spans="2:2" x14ac:dyDescent="0.2">
      <c r="B178" s="21"/>
    </row>
    <row r="179" spans="2:2" x14ac:dyDescent="0.2">
      <c r="B179" s="21"/>
    </row>
    <row r="180" spans="2:2" x14ac:dyDescent="0.2">
      <c r="B180" s="21"/>
    </row>
    <row r="181" spans="2:2" x14ac:dyDescent="0.2">
      <c r="B181" s="21"/>
    </row>
    <row r="182" spans="2:2" x14ac:dyDescent="0.2">
      <c r="B182" s="21"/>
    </row>
    <row r="183" spans="2:2" x14ac:dyDescent="0.2">
      <c r="B183" s="21"/>
    </row>
    <row r="184" spans="2:2" x14ac:dyDescent="0.2">
      <c r="B184" s="21"/>
    </row>
    <row r="185" spans="2:2" x14ac:dyDescent="0.2">
      <c r="B185" s="21"/>
    </row>
    <row r="186" spans="2:2" x14ac:dyDescent="0.2">
      <c r="B186" s="21"/>
    </row>
    <row r="187" spans="2:2" x14ac:dyDescent="0.2">
      <c r="B187" s="21"/>
    </row>
    <row r="188" spans="2:2" x14ac:dyDescent="0.2">
      <c r="B188" s="21"/>
    </row>
    <row r="189" spans="2:2" x14ac:dyDescent="0.2">
      <c r="B189" s="21"/>
    </row>
    <row r="190" spans="2:2" x14ac:dyDescent="0.2">
      <c r="B190" s="21"/>
    </row>
    <row r="191" spans="2:2" x14ac:dyDescent="0.2">
      <c r="B191" s="21"/>
    </row>
    <row r="192" spans="2:2" x14ac:dyDescent="0.2">
      <c r="B192" s="21"/>
    </row>
    <row r="193" spans="2:2" x14ac:dyDescent="0.2">
      <c r="B193" s="21"/>
    </row>
    <row r="194" spans="2:2" x14ac:dyDescent="0.2">
      <c r="B194" s="21"/>
    </row>
    <row r="195" spans="2:2" x14ac:dyDescent="0.2">
      <c r="B195" s="21"/>
    </row>
    <row r="196" spans="2:2" x14ac:dyDescent="0.2">
      <c r="B196" s="21"/>
    </row>
    <row r="197" spans="2:2" x14ac:dyDescent="0.2">
      <c r="B197" s="21"/>
    </row>
    <row r="198" spans="2:2" x14ac:dyDescent="0.2">
      <c r="B198" s="21"/>
    </row>
    <row r="199" spans="2:2" x14ac:dyDescent="0.2">
      <c r="B199" s="21"/>
    </row>
    <row r="200" spans="2:2" x14ac:dyDescent="0.2">
      <c r="B200" s="21"/>
    </row>
    <row r="201" spans="2:2" x14ac:dyDescent="0.2">
      <c r="B201" s="21"/>
    </row>
    <row r="202" spans="2:2" x14ac:dyDescent="0.2">
      <c r="B202" s="21"/>
    </row>
    <row r="203" spans="2:2" x14ac:dyDescent="0.2">
      <c r="B203" s="21"/>
    </row>
    <row r="204" spans="2:2" x14ac:dyDescent="0.2">
      <c r="B204" s="21"/>
    </row>
    <row r="205" spans="2:2" x14ac:dyDescent="0.2">
      <c r="B205" s="21"/>
    </row>
    <row r="206" spans="2:2" x14ac:dyDescent="0.2">
      <c r="B206" s="21"/>
    </row>
    <row r="207" spans="2:2" x14ac:dyDescent="0.2">
      <c r="B207" s="21"/>
    </row>
  </sheetData>
  <autoFilter ref="A7:F207" xr:uid="{00000000-0009-0000-0000-000000000000}">
    <filterColumn colId="0">
      <filters blank="1">
        <filter val="07.02.2025 "/>
        <filter val="08.02.2025"/>
        <filter val="12.02.2025"/>
        <filter val="13.02.2025"/>
        <filter val="14.02.2025"/>
        <filter val="16.02.2025"/>
        <filter val="19.02.2025"/>
        <filter val="20.02.2025"/>
        <filter val="21.02.2025"/>
        <filter val="22.02.2025"/>
        <filter val="23.02.2025"/>
        <filter val="24.02.2025"/>
        <filter val="25.02.2025"/>
        <filter val="26.02.2025"/>
        <filter val="27.02.2025"/>
        <filter val="28.02.2025"/>
        <dateGroupItem year="2025" dateTimeGrouping="year"/>
        <dateGroupItem year="2024" dateTimeGrouping="year"/>
      </filters>
    </filterColumn>
  </autoFilter>
  <phoneticPr fontId="18" type="noConversion"/>
  <hyperlinks>
    <hyperlink ref="B140" r:id="rId1" display="https://afl.booking-cargo.ru/booking/30464" xr:uid="{1C6465E1-07AD-5748-8799-F8AD238207D5}"/>
    <hyperlink ref="B141" r:id="rId2" display="https://afl.booking-cargo.ru/booking/31367" xr:uid="{33045476-A0D6-F944-97B2-E4C19F3D0233}"/>
    <hyperlink ref="B142" r:id="rId3" display="https://afl.booking-cargo.ru/booking/32407" xr:uid="{414D6437-1585-4B46-B69B-E7A0F373F1A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AWB</vt:lpstr>
      <vt:lpstr>AWB_LINE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Печко</dc:creator>
  <cp:lastModifiedBy>Microsoft Office User</cp:lastModifiedBy>
  <dcterms:created xsi:type="dcterms:W3CDTF">2022-11-10T16:29:45Z</dcterms:created>
  <dcterms:modified xsi:type="dcterms:W3CDTF">2025-03-21T18:01:04Z</dcterms:modified>
</cp:coreProperties>
</file>